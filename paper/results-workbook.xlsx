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ba59e6a47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19dc37922d4544"/>
    <x:sheet xmlns:r="http://schemas.openxmlformats.org/officeDocument/2006/relationships" name="Reproduction" sheetId="2" r:id="R2f3a7d7870cc4574"/>
    <x:sheet xmlns:r="http://schemas.openxmlformats.org/officeDocument/2006/relationships" name="Hourly Preview" sheetId="3" r:id="R8be557af7594463f"/>
    <x:sheet xmlns:r="http://schemas.openxmlformats.org/officeDocument/2006/relationships" name="Monthly Preview" sheetId="4" r:id="Rec261194eb934129"/>
    <x:sheet xmlns:r="http://schemas.openxmlformats.org/officeDocument/2006/relationships" name="Sources" sheetId="5" r:id="R0fea66a4947f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E+00"/>
    <x:numFmt numFmtId="201" formatCode="0.0%"/>
    <x:numFmt numFmtId="202" formatCode="0.000000"/>
    <x:numFmt numFmtId="203" formatCode="0.0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7A3E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E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b558a5cd348d7" /><Relationship Type="http://schemas.openxmlformats.org/officeDocument/2006/relationships/theme" Target="/xl/theme/theme1.xml" Id="R3ab7d888bec64395" /><Relationship Type="http://schemas.openxmlformats.org/officeDocument/2006/relationships/sharedStrings" Target="/xl/sharedStrings.xml" Id="R84365f9673e64d03" /><Relationship Type="http://schemas.openxmlformats.org/officeDocument/2006/relationships/worksheet" Target="/xl/worksheets/sheet1.xml" Id="R9119dc37922d4544" /><Relationship Type="http://schemas.openxmlformats.org/officeDocument/2006/relationships/worksheet" Target="/xl/worksheets/sheet2.xml" Id="R2f3a7d7870cc4574" /><Relationship Type="http://schemas.openxmlformats.org/officeDocument/2006/relationships/worksheet" Target="/xl/worksheets/sheet3.xml" Id="R8be557af7594463f" /><Relationship Type="http://schemas.openxmlformats.org/officeDocument/2006/relationships/worksheet" Target="/xl/worksheets/sheet4.xml" Id="Rec261194eb934129" /><Relationship Type="http://schemas.openxmlformats.org/officeDocument/2006/relationships/worksheet" Target="/xl/worksheets/sheet5.xml" Id="R0fea66a4947f42bc" /><Relationship Type="http://schemas.microsoft.com/office/2017/10/relationships/person" Target="/xl/persons/person.xml" Id="R28b4041a334744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4aff75f73f481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6abf5c56eba406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1a179c5308a40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Reproduced Microsoft grid-scenario reductions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GHG reduction</c:v>
          </c:tx>
          <c:cat>
            <c:strRef>
              <c:f>'Summary'!$A$10:$A$12</c:f>
              <c:strCache>
                <c:ptCount val="0"/>
              </c:strCache>
            </c:strRef>
          </c:cat>
          <c:val>
            <c:numRef>
              <c:f>'Summary'!$B$10:$B$12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Energy reduction</c:v>
          </c:tx>
          <c:cat>
            <c:strRef>
              <c:f>'Summary'!$A$10:$A$12</c:f>
              <c:strCache>
                <c:ptCount val="0"/>
              </c:strCache>
            </c:strRef>
          </c:cat>
          <c:val>
            <c:numRef>
              <c:f>'Summary'!$C$10:$C$12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Water reduction</c:v>
          </c:tx>
          <c:cat>
            <c:strRef>
              <c:f>'Summary'!$A$10:$A$12</c:f>
              <c:strCache>
                <c:ptCount val="0"/>
              </c:strCache>
            </c:strRef>
          </c:cat>
          <c:val>
            <c:numRef>
              <c:f>'Summary'!$D$10:$D$12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Illustrative operational GHG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Operational kg CO2e/IT MWh</c:v>
          </c:tx>
          <c:cat>
            <c:strRef>
              <c:f>'Hourly Preview'!$H$2:$H$5</c:f>
              <c:strCache>
                <c:ptCount val="0"/>
              </c:strCache>
            </c:strRef>
          </c:cat>
          <c:val>
            <c:numRef>
              <c:f>'Hourly Preview'!$I$2:$I$5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Illustrative monthly PUE hypotheses</a:t>
            </a:r>
          </a:p>
        </c:rich>
      </c:tx>
    </c:title>
    <c:plotArea>
      <c:lineChart>
        <c:grouping val="standard"/>
        <c:ser>
          <c:idx val="0"/>
          <c:order val="0"/>
          <c:tx>
            <c:v>Air-cooled PUE</c:v>
          </c:tx>
          <c:marker>
            <c:symbol val="none"/>
          </c:marker>
          <c:cat>
            <c:strRef>
              <c:f>'Monthly Preview'!$H$23:$H$34</c:f>
              <c:strCache>
                <c:ptCount val="0"/>
              </c:strCache>
            </c:strRef>
          </c:cat>
          <c:val>
            <c:numRef>
              <c:f>'Monthly Preview'!$I$23:$I$34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Cold plate PUE</c:v>
          </c:tx>
          <c:marker>
            <c:symbol val="none"/>
          </c:marker>
          <c:cat>
            <c:strRef>
              <c:f>'Monthly Preview'!$H$23:$H$34</c:f>
              <c:strCache>
                <c:ptCount val="0"/>
              </c:strCache>
            </c:strRef>
          </c:cat>
          <c:val>
            <c:numRef>
              <c:f>'Monthly Preview'!$J$23:$J$34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One-phase PUE</c:v>
          </c:tx>
          <c:marker>
            <c:symbol val="none"/>
          </c:marker>
          <c:cat>
            <c:strRef>
              <c:f>'Monthly Preview'!$H$23:$H$34</c:f>
              <c:strCache>
                <c:ptCount val="0"/>
              </c:strCache>
            </c:strRef>
          </c:cat>
          <c:val>
            <c:numRef>
              <c:f>'Monthly Preview'!$K$23:$K$34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Two-phase PUE</c:v>
          </c:tx>
          <c:marker>
            <c:symbol val="none"/>
          </c:marker>
          <c:cat>
            <c:strRef>
              <c:f>'Monthly Preview'!$H$23:$H$34</c:f>
              <c:strCache>
                <c:ptCount val="0"/>
              </c:strCache>
            </c:strRef>
          </c:cat>
          <c:val>
            <c:numRef>
              <c:f>'Monthly Preview'!$L$23:$L$34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.12"/>
          <c:min val="1.03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4aff75f73f481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abf5c56eba406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a179c5308a405f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Han Hu" id="{51625546-762B-418A-A914-209D94FC915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51d9f435f04e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2fcb234e3204e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9729bf43b6e541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4" customHeight="1">
      <x:c r="A1" s="2" t="str">
        <x:v>OpenDC-LCA v0.4-v0.5 paper results</x:v>
      </x:c>
      <x:c r="B1" s="2"/>
      <x:c r="C1" s="2"/>
      <x:c r="D1" s="2"/>
      <x:c r="E1" s="2"/>
      <x:c r="F1" s="2"/>
      <x:c r="G1" s="2"/>
      <x:c r="H1" s="2"/>
    </x:row>
    <x:row r="3" ht="26" customHeight="1">
      <x:c r="A3" s="3" t="str">
        <x:v>Result</x:v>
      </x:c>
      <x:c r="B3" s="3" t="str">
        <x:v>Value</x:v>
      </x:c>
    </x:row>
    <x:row r="4">
      <x:c r="A4" t="str">
        <x:v>Microsoft totals audited</x:v>
      </x:c>
      <x:c r="B4" t="n">
        <x:v>24</x:v>
      </x:c>
    </x:row>
    <x:row r="5">
      <x:c r="A5" t="str">
        <x:v>Maximum reconciliation error</x:v>
      </x:c>
      <x:c r="B5" s="4" t="n">
        <x:v>1.4210854715202004e-14</x:v>
      </x:c>
    </x:row>
    <x:row r="6">
      <x:c r="A6" t="str">
        <x:v>Hourly climate observations</x:v>
      </x:c>
      <x:c r="B6" t="n">
        <x:v>8760</x:v>
      </x:c>
    </x:row>
    <x:row r="7">
      <x:c r="A7" t="str">
        <x:v>Evidentiary status</x:v>
      </x:c>
      <x:c r="B7" t="str">
        <x:v>Reproduction validated; hourly comparison is a research preview</x:v>
      </x:c>
    </x:row>
    <x:row r="9" ht="26" customHeight="1">
      <x:c r="A9" s="3" t="str">
        <x:v>Technology</x:v>
      </x:c>
      <x:c r="B9" s="3" t="str">
        <x:v>GHG reduction</x:v>
      </x:c>
      <x:c r="C9" s="3" t="str">
        <x:v>Energy reduction</x:v>
      </x:c>
      <x:c r="D9" s="3" t="str">
        <x:v>Water reduction</x:v>
      </x:c>
    </x:row>
    <x:row r="10">
      <x:c r="A10" t="str">
        <x:v>Cold plate</x:v>
      </x:c>
      <x:c r="B10" s="5" t="n">
        <x:v>0.15177939034859578</x:v>
      </x:c>
      <x:c r="C10" s="5" t="n">
        <x:v>0.14975399375856668</x:v>
      </x:c>
      <x:c r="D10" s="5" t="n">
        <x:v>0.3064332560062357</x:v>
      </x:c>
    </x:row>
    <x:row r="11">
      <x:c r="A11" t="str">
        <x:v>One-phase</x:v>
      </x:c>
      <x:c r="B11" s="5" t="n">
        <x:v>0.16410836684317787</x:v>
      </x:c>
      <x:c r="C11" s="5" t="n">
        <x:v>0.15334011267461345</x:v>
      </x:c>
      <x:c r="D11" s="5" t="n">
        <x:v>0.44940031999002417</x:v>
      </x:c>
    </x:row>
    <x:row r="12">
      <x:c r="A12" t="str">
        <x:v>Two-phase</x:v>
      </x:c>
      <x:c r="B12" s="5" t="n">
        <x:v>0.2065808823884362</x:v>
      </x:c>
      <x:c r="C12" s="5" t="n">
        <x:v>0.2005241090377794</x:v>
      </x:c>
      <x:c r="D12" s="5" t="n">
        <x:v>0.4787757668953351</x:v>
      </x:c>
    </x:row>
    <x:row r="13">
      <x:c r="A13" t="str">
        <x:v>Status</x:v>
      </x:c>
      <x:c r="B13" t="str">
        <x:v>Validated</x:v>
      </x:c>
      <x:c r="C13" t="str">
        <x:v>Validated</x:v>
      </x:c>
      <x:c r="D13" t="str">
        <x:v>Validated</x:v>
      </x:c>
    </x:row>
    <x:row r="15">
      <x:c r="A15" s="8" t="str">
        <x:v>Interpretation boundary: the v0.4 audit validates arithmetic consistency of released component data. The v0.5 PUE curves are transparent assumptions pending NED3 measurements and do not support a technology ranking.</x:v>
      </x:c>
      <x:c r="B15" s="8"/>
      <x:c r="C15" s="8"/>
      <x:c r="D15" s="8"/>
      <x:c r="E15" s="8"/>
    </x:row>
    <x:row r="16">
      <x:c r="A16" s="8"/>
      <x:c r="B16" s="8"/>
      <x:c r="C16" s="8"/>
      <x:c r="D16" s="8"/>
      <x:c r="E16" s="8"/>
    </x:row>
    <x:row r="17">
      <x:c r="A17" s="8"/>
      <x:c r="B17" s="8"/>
      <x:c r="C17" s="8"/>
      <x:c r="D17" s="8"/>
      <x:c r="E17" s="8"/>
    </x:row>
  </x:sheetData>
  <x:mergeCells>
    <x:mergeCell ref="A1:H1"/>
    <x:mergeCell ref="A15:E17"/>
  </x:mergeCells>
  <x:pageMargins left="0.7" right="0.7" top="0.75" bottom="0.75" header="0.3" footer="0.3"/>
  <x:drawing xmlns:r="http://schemas.openxmlformats.org/officeDocument/2006/relationships" r:id="Rfa51d9f435f04e5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3" t="str">
        <x:v>Metric</x:v>
      </x:c>
      <x:c r="B1" s="3" t="str">
        <x:v>Electricity</x:v>
      </x:c>
      <x:c r="C1" s="3" t="str">
        <x:v>Technology</x:v>
      </x:c>
      <x:c r="D1" s="3" t="str">
        <x:v>Published normalized</x:v>
      </x:c>
      <x:c r="E1" s="3" t="str">
        <x:v>Component sum</x:v>
      </x:c>
      <x:c r="F1" s="3" t="str">
        <x:v>Absolute difference</x:v>
      </x:c>
      <x:c r="G1" s="3" t="str">
        <x:v>Reduction vs air</x:v>
      </x:c>
      <x:c r="H1" s="3" t="str">
        <x:v>Air baseline</x:v>
      </x:c>
    </x:row>
    <x:row r="2">
      <x:c r="A2" t="str">
        <x:v>Primary energy</x:v>
      </x:c>
      <x:c r="B2" t="str">
        <x:v>Grid</x:v>
      </x:c>
      <x:c r="C2" t="str">
        <x:v>Air-cooled</x:v>
      </x:c>
      <x:c r="D2" s="9" t="n">
        <x:v>100</x:v>
      </x:c>
      <x:c r="E2" s="9" t="n">
        <x:v>99.99999999999999</x:v>
      </x:c>
      <x:c r="F2" s="9" t="n">
        <x:f>ABS(D2-E2)</x:f>
        <x:v>1.4210854715202004e-14</x:v>
      </x:c>
      <x:c r="G2" s="5" t="n">
        <x:f>1-D2/H2</x:f>
        <x:v>0</x:v>
      </x:c>
      <x:c r="H2" t="n">
        <x:f>SUMIFS($D$2:$D$25,$A$2:$A$25,A2,$B$2:$B$25,B2,$C$2:$C$25,"Air-cooled")</x:f>
        <x:v>100</x:v>
      </x:c>
    </x:row>
    <x:row r="3">
      <x:c r="A3" t="str">
        <x:v>Primary energy</x:v>
      </x:c>
      <x:c r="B3" t="str">
        <x:v>Grid</x:v>
      </x:c>
      <x:c r="C3" t="str">
        <x:v>Cold plate</x:v>
      </x:c>
      <x:c r="D3" s="9" t="n">
        <x:v>85.02460062414333</x:v>
      </x:c>
      <x:c r="E3" s="9" t="n">
        <x:v>85.02460062414335</x:v>
      </x:c>
      <x:c r="F3" s="9" t="n">
        <x:f>ABS(D3-E3)</x:f>
        <x:v>1.4210854715202004e-14</x:v>
      </x:c>
      <x:c r="G3" s="5" t="n">
        <x:f>1-D3/H3</x:f>
        <x:v>0.14975399375856668</x:v>
      </x:c>
      <x:c r="H3" t="n">
        <x:f>SUMIFS($D$2:$D$25,$A$2:$A$25,A3,$B$2:$B$25,B3,$C$2:$C$25,"Air-cooled")</x:f>
        <x:v>100</x:v>
      </x:c>
    </x:row>
    <x:row r="4">
      <x:c r="A4" t="str">
        <x:v>Primary energy</x:v>
      </x:c>
      <x:c r="B4" t="str">
        <x:v>Grid</x:v>
      </x:c>
      <x:c r="C4" t="str">
        <x:v>One-phase</x:v>
      </x:c>
      <x:c r="D4" s="9" t="n">
        <x:v>84.66598873253865</x:v>
      </x:c>
      <x:c r="E4" s="9" t="n">
        <x:v>84.66598873253866</x:v>
      </x:c>
      <x:c r="F4" s="9" t="n">
        <x:f>ABS(D4-E4)</x:f>
        <x:v>1.4210854715202004e-14</x:v>
      </x:c>
      <x:c r="G4" s="5" t="n">
        <x:f>1-D4/H4</x:f>
        <x:v>0.15334011267461345</x:v>
      </x:c>
      <x:c r="H4" t="n">
        <x:f>SUMIFS($D$2:$D$25,$A$2:$A$25,A4,$B$2:$B$25,B4,$C$2:$C$25,"Air-cooled")</x:f>
        <x:v>100</x:v>
      </x:c>
    </x:row>
    <x:row r="5">
      <x:c r="A5" t="str">
        <x:v>Primary energy</x:v>
      </x:c>
      <x:c r="B5" t="str">
        <x:v>Grid</x:v>
      </x:c>
      <x:c r="C5" t="str">
        <x:v>Two-phase</x:v>
      </x:c>
      <x:c r="D5" s="9" t="n">
        <x:v>79.94758909622206</x:v>
      </x:c>
      <x:c r="E5" s="9" t="n">
        <x:v>79.94758909622206</x:v>
      </x:c>
      <x:c r="F5" s="9" t="n">
        <x:f>ABS(D5-E5)</x:f>
        <x:v>0</x:v>
      </x:c>
      <x:c r="G5" s="5" t="n">
        <x:f>1-D5/H5</x:f>
        <x:v>0.2005241090377794</x:v>
      </x:c>
      <x:c r="H5" t="n">
        <x:f>SUMIFS($D$2:$D$25,$A$2:$A$25,A5,$B$2:$B$25,B5,$C$2:$C$25,"Air-cooled")</x:f>
        <x:v>100</x:v>
      </x:c>
    </x:row>
    <x:row r="6">
      <x:c r="A6" t="str">
        <x:v>Primary energy</x:v>
      </x:c>
      <x:c r="B6" t="str">
        <x:v>100% renewable</x:v>
      </x:c>
      <x:c r="C6" t="str">
        <x:v>Air-cooled</x:v>
      </x:c>
      <x:c r="D6" s="9" t="n">
        <x:v>92.63095836919227</x:v>
      </x:c>
      <x:c r="E6" s="9" t="n">
        <x:v>92.63095836919226</x:v>
      </x:c>
      <x:c r="F6" s="9" t="n">
        <x:f>ABS(D6-E6)</x:f>
        <x:v>1.4210854715202004e-14</x:v>
      </x:c>
      <x:c r="G6" s="5" t="n">
        <x:f>1-D6/H6</x:f>
        <x:v>0</x:v>
      </x:c>
      <x:c r="H6" t="n">
        <x:f>SUMIFS($D$2:$D$25,$A$2:$A$25,A6,$B$2:$B$25,B6,$C$2:$C$25,"Air-cooled")</x:f>
        <x:v>92.63095836919227</x:v>
      </x:c>
    </x:row>
    <x:row r="7">
      <x:c r="A7" t="str">
        <x:v>Primary energy</x:v>
      </x:c>
      <x:c r="B7" t="str">
        <x:v>100% renewable</x:v>
      </x:c>
      <x:c r="C7" t="str">
        <x:v>Cold plate</x:v>
      </x:c>
      <x:c r="D7" s="9" t="n">
        <x:v>78.76732310024443</x:v>
      </x:c>
      <x:c r="E7" s="9" t="n">
        <x:v>78.76732310024443</x:v>
      </x:c>
      <x:c r="F7" s="9" t="n">
        <x:f>ABS(D7-E7)</x:f>
        <x:v>0</x:v>
      </x:c>
      <x:c r="G7" s="5" t="n">
        <x:f>1-D7/H7</x:f>
        <x:v>0.14966524705155904</x:v>
      </x:c>
      <x:c r="H7" t="n">
        <x:f>SUMIFS($D$2:$D$25,$A$2:$A$25,A7,$B$2:$B$25,B7,$C$2:$C$25,"Air-cooled")</x:f>
        <x:v>92.63095836919227</x:v>
      </x:c>
    </x:row>
    <x:row r="8">
      <x:c r="A8" t="str">
        <x:v>Primary energy</x:v>
      </x:c>
      <x:c r="B8" t="str">
        <x:v>100% renewable</x:v>
      </x:c>
      <x:c r="C8" t="str">
        <x:v>One-phase</x:v>
      </x:c>
      <x:c r="D8" s="9" t="n">
        <x:v>78.53191692444338</x:v>
      </x:c>
      <x:c r="E8" s="9" t="n">
        <x:v>78.53191692444338</x:v>
      </x:c>
      <x:c r="F8" s="9" t="n">
        <x:f>ABS(D8-E8)</x:f>
        <x:v>0</x:v>
      </x:c>
      <x:c r="G8" s="5" t="n">
        <x:f>1-D8/H8</x:f>
        <x:v>0.15220658074760918</x:v>
      </x:c>
      <x:c r="H8" t="n">
        <x:f>SUMIFS($D$2:$D$25,$A$2:$A$25,A8,$B$2:$B$25,B8,$C$2:$C$25,"Air-cooled")</x:f>
        <x:v>92.63095836919227</x:v>
      </x:c>
    </x:row>
    <x:row r="9">
      <x:c r="A9" t="str">
        <x:v>Primary energy</x:v>
      </x:c>
      <x:c r="B9" t="str">
        <x:v>100% renewable</x:v>
      </x:c>
      <x:c r="C9" t="str">
        <x:v>Two-phase</x:v>
      </x:c>
      <x:c r="D9" s="9" t="n">
        <x:v>74.10842458659289</x:v>
      </x:c>
      <x:c r="E9" s="9" t="n">
        <x:v>74.10842458659288</x:v>
      </x:c>
      <x:c r="F9" s="9" t="n">
        <x:f>ABS(D9-E9)</x:f>
        <x:v>1.4210854715202004e-14</x:v>
      </x:c>
      <x:c r="G9" s="5" t="n">
        <x:f>1-D9/H9</x:f>
        <x:v>0.19996051113684377</x:v>
      </x:c>
      <x:c r="H9" t="n">
        <x:f>SUMIFS($D$2:$D$25,$A$2:$A$25,A9,$B$2:$B$25,B9,$C$2:$C$25,"Air-cooled")</x:f>
        <x:v>92.63095836919227</x:v>
      </x:c>
    </x:row>
    <x:row r="10">
      <x:c r="A10" t="str">
        <x:v>GHG</x:v>
      </x:c>
      <x:c r="B10" t="str">
        <x:v>Grid</x:v>
      </x:c>
      <x:c r="C10" t="str">
        <x:v>Air-cooled</x:v>
      </x:c>
      <x:c r="D10" s="9" t="n">
        <x:v>100</x:v>
      </x:c>
      <x:c r="E10" s="9" t="n">
        <x:v>100</x:v>
      </x:c>
      <x:c r="F10" s="9" t="n">
        <x:f>ABS(D10-E10)</x:f>
        <x:v>0</x:v>
      </x:c>
      <x:c r="G10" s="5" t="n">
        <x:f>1-D10/H10</x:f>
        <x:v>0</x:v>
      </x:c>
      <x:c r="H10" t="n">
        <x:f>SUMIFS($D$2:$D$25,$A$2:$A$25,A10,$B$2:$B$25,B10,$C$2:$C$25,"Air-cooled")</x:f>
        <x:v>100</x:v>
      </x:c>
    </x:row>
    <x:row r="11">
      <x:c r="A11" t="str">
        <x:v>GHG</x:v>
      </x:c>
      <x:c r="B11" t="str">
        <x:v>Grid</x:v>
      </x:c>
      <x:c r="C11" t="str">
        <x:v>Cold plate</x:v>
      </x:c>
      <x:c r="D11" s="9" t="n">
        <x:v>84.82206096514042</x:v>
      </x:c>
      <x:c r="E11" s="9" t="n">
        <x:v>84.82206096514044</x:v>
      </x:c>
      <x:c r="F11" s="9" t="n">
        <x:f>ABS(D11-E11)</x:f>
        <x:v>1.4210854715202004e-14</x:v>
      </x:c>
      <x:c r="G11" s="5" t="n">
        <x:f>1-D11/H11</x:f>
        <x:v>0.15177939034859578</x:v>
      </x:c>
      <x:c r="H11" t="n">
        <x:f>SUMIFS($D$2:$D$25,$A$2:$A$25,A11,$B$2:$B$25,B11,$C$2:$C$25,"Air-cooled")</x:f>
        <x:v>100</x:v>
      </x:c>
    </x:row>
    <x:row r="12">
      <x:c r="A12" t="str">
        <x:v>GHG</x:v>
      </x:c>
      <x:c r="B12" t="str">
        <x:v>Grid</x:v>
      </x:c>
      <x:c r="C12" t="str">
        <x:v>One-phase</x:v>
      </x:c>
      <x:c r="D12" s="9" t="n">
        <x:v>83.58916331568221</x:v>
      </x:c>
      <x:c r="E12" s="9" t="n">
        <x:v>83.58916331568221</x:v>
      </x:c>
      <x:c r="F12" s="9" t="n">
        <x:f>ABS(D12-E12)</x:f>
        <x:v>0</x:v>
      </x:c>
      <x:c r="G12" s="5" t="n">
        <x:f>1-D12/H12</x:f>
        <x:v>0.16410836684317787</x:v>
      </x:c>
      <x:c r="H12" t="n">
        <x:f>SUMIFS($D$2:$D$25,$A$2:$A$25,A12,$B$2:$B$25,B12,$C$2:$C$25,"Air-cooled")</x:f>
        <x:v>100</x:v>
      </x:c>
    </x:row>
    <x:row r="13">
      <x:c r="A13" t="str">
        <x:v>GHG</x:v>
      </x:c>
      <x:c r="B13" t="str">
        <x:v>Grid</x:v>
      </x:c>
      <x:c r="C13" t="str">
        <x:v>Two-phase</x:v>
      </x:c>
      <x:c r="D13" s="9" t="n">
        <x:v>79.34191176115638</x:v>
      </x:c>
      <x:c r="E13" s="9" t="n">
        <x:v>79.34191176115638</x:v>
      </x:c>
      <x:c r="F13" s="9" t="n">
        <x:f>ABS(D13-E13)</x:f>
        <x:v>0</x:v>
      </x:c>
      <x:c r="G13" s="5" t="n">
        <x:f>1-D13/H13</x:f>
        <x:v>0.2065808823884362</x:v>
      </x:c>
      <x:c r="H13" t="n">
        <x:f>SUMIFS($D$2:$D$25,$A$2:$A$25,A13,$B$2:$B$25,B13,$C$2:$C$25,"Air-cooled")</x:f>
        <x:v>100</x:v>
      </x:c>
    </x:row>
    <x:row r="14">
      <x:c r="A14" t="str">
        <x:v>GHG</x:v>
      </x:c>
      <x:c r="B14" t="str">
        <x:v>100% renewable</x:v>
      </x:c>
      <x:c r="C14" t="str">
        <x:v>Air-cooled</x:v>
      </x:c>
      <x:c r="D14" s="9" t="n">
        <x:v>10.661628152147067</x:v>
      </x:c>
      <x:c r="E14" s="9" t="n">
        <x:v>10.661628152147067</x:v>
      </x:c>
      <x:c r="F14" s="9" t="n">
        <x:f>ABS(D14-E14)</x:f>
        <x:v>0</x:v>
      </x:c>
      <x:c r="G14" s="5" t="n">
        <x:f>1-D14/H14</x:f>
        <x:v>0</x:v>
      </x:c>
      <x:c r="H14" t="n">
        <x:f>SUMIFS($D$2:$D$25,$A$2:$A$25,A14,$B$2:$B$25,B14,$C$2:$C$25,"Air-cooled")</x:f>
        <x:v>10.661628152147067</x:v>
      </x:c>
    </x:row>
    <x:row r="15">
      <x:c r="A15" t="str">
        <x:v>GHG</x:v>
      </x:c>
      <x:c r="B15" t="str">
        <x:v>100% renewable</x:v>
      </x:c>
      <x:c r="C15" t="str">
        <x:v>Cold plate</x:v>
      </x:c>
      <x:c r="D15" s="9" t="n">
        <x:v>8.962130435202702</x:v>
      </x:c>
      <x:c r="E15" s="9" t="n">
        <x:v>8.9621304352027</x:v>
      </x:c>
      <x:c r="F15" s="9" t="n">
        <x:f>ABS(D15-E15)</x:f>
        <x:v>1.7763568394002505e-15</x:v>
      </x:c>
      <x:c r="G15" s="5" t="n">
        <x:f>1-D15/H15</x:f>
        <x:v>0.15940320677964326</x:v>
      </x:c>
      <x:c r="H15" t="n">
        <x:f>SUMIFS($D$2:$D$25,$A$2:$A$25,A15,$B$2:$B$25,B15,$C$2:$C$25,"Air-cooled")</x:f>
        <x:v>10.661628152147067</x:v>
      </x:c>
    </x:row>
    <x:row r="16">
      <x:c r="A16" t="str">
        <x:v>GHG</x:v>
      </x:c>
      <x:c r="B16" t="str">
        <x:v>100% renewable</x:v>
      </x:c>
      <x:c r="C16" t="str">
        <x:v>One-phase</x:v>
      </x:c>
      <x:c r="D16" s="9" t="n">
        <x:v>9.222913864465534</x:v>
      </x:c>
      <x:c r="E16" s="9" t="n">
        <x:v>9.222913864465536</x:v>
      </x:c>
      <x:c r="F16" s="9" t="n">
        <x:f>ABS(D16-E16)</x:f>
        <x:v>1.7763568394002505e-15</x:v>
      </x:c>
      <x:c r="G16" s="5" t="n">
        <x:f>1-D16/H16</x:f>
        <x:v>0.1349432063424385</x:v>
      </x:c>
      <x:c r="H16" t="n">
        <x:f>SUMIFS($D$2:$D$25,$A$2:$A$25,A16,$B$2:$B$25,B16,$C$2:$C$25,"Air-cooled")</x:f>
        <x:v>10.661628152147067</x:v>
      </x:c>
    </x:row>
    <x:row r="17">
      <x:c r="A17" t="str">
        <x:v>GHG</x:v>
      </x:c>
      <x:c r="B17" t="str">
        <x:v>100% renewable</x:v>
      </x:c>
      <x:c r="C17" t="str">
        <x:v>Two-phase</x:v>
      </x:c>
      <x:c r="D17" s="9" t="n">
        <x:v>8.550962764325098</x:v>
      </x:c>
      <x:c r="E17" s="9" t="n">
        <x:v>8.5509627643251</x:v>
      </x:c>
      <x:c r="F17" s="9" t="n">
        <x:f>ABS(D17-E17)</x:f>
        <x:v>1.7763568394002505e-15</x:v>
      </x:c>
      <x:c r="G17" s="5" t="n">
        <x:f>1-D17/H17</x:f>
        <x:v>0.1979683926039868</x:v>
      </x:c>
      <x:c r="H17" t="n">
        <x:f>SUMIFS($D$2:$D$25,$A$2:$A$25,A17,$B$2:$B$25,B17,$C$2:$C$25,"Air-cooled")</x:f>
        <x:v>10.661628152147067</x:v>
      </x:c>
    </x:row>
    <x:row r="18">
      <x:c r="A18" t="str">
        <x:v>Blue water</x:v>
      </x:c>
      <x:c r="B18" t="str">
        <x:v>Grid</x:v>
      </x:c>
      <x:c r="C18" t="str">
        <x:v>Air-cooled</x:v>
      </x:c>
      <x:c r="D18" s="9" t="n">
        <x:v>100</x:v>
      </x:c>
      <x:c r="E18" s="9" t="n">
        <x:v>100</x:v>
      </x:c>
      <x:c r="F18" s="9" t="n">
        <x:f>ABS(D18-E18)</x:f>
        <x:v>0</x:v>
      </x:c>
      <x:c r="G18" s="5" t="n">
        <x:f>1-D18/H18</x:f>
        <x:v>0</x:v>
      </x:c>
      <x:c r="H18" t="n">
        <x:f>SUMIFS($D$2:$D$25,$A$2:$A$25,A18,$B$2:$B$25,B18,$C$2:$C$25,"Air-cooled")</x:f>
        <x:v>100</x:v>
      </x:c>
    </x:row>
    <x:row r="19">
      <x:c r="A19" t="str">
        <x:v>Blue water</x:v>
      </x:c>
      <x:c r="B19" t="str">
        <x:v>Grid</x:v>
      </x:c>
      <x:c r="C19" t="str">
        <x:v>Cold plate</x:v>
      </x:c>
      <x:c r="D19" s="9" t="n">
        <x:v>69.35667439937643</x:v>
      </x:c>
      <x:c r="E19" s="9" t="n">
        <x:v>69.35667439937644</x:v>
      </x:c>
      <x:c r="F19" s="9" t="n">
        <x:f>ABS(D19-E19)</x:f>
        <x:v>1.4210854715202004e-14</x:v>
      </x:c>
      <x:c r="G19" s="5" t="n">
        <x:f>1-D19/H19</x:f>
        <x:v>0.3064332560062357</x:v>
      </x:c>
      <x:c r="H19" t="n">
        <x:f>SUMIFS($D$2:$D$25,$A$2:$A$25,A19,$B$2:$B$25,B19,$C$2:$C$25,"Air-cooled")</x:f>
        <x:v>100</x:v>
      </x:c>
    </x:row>
    <x:row r="20">
      <x:c r="A20" t="str">
        <x:v>Blue water</x:v>
      </x:c>
      <x:c r="B20" t="str">
        <x:v>Grid</x:v>
      </x:c>
      <x:c r="C20" t="str">
        <x:v>One-phase</x:v>
      </x:c>
      <x:c r="D20" s="9" t="n">
        <x:v>55.05996800099758</x:v>
      </x:c>
      <x:c r="E20" s="9" t="n">
        <x:v>55.059968000997564</x:v>
      </x:c>
      <x:c r="F20" s="9" t="n">
        <x:f>ABS(D20-E20)</x:f>
        <x:v>1.4210854715202004e-14</x:v>
      </x:c>
      <x:c r="G20" s="5" t="n">
        <x:f>1-D20/H20</x:f>
        <x:v>0.44940031999002417</x:v>
      </x:c>
      <x:c r="H20" t="n">
        <x:f>SUMIFS($D$2:$D$25,$A$2:$A$25,A20,$B$2:$B$25,B20,$C$2:$C$25,"Air-cooled")</x:f>
        <x:v>100</x:v>
      </x:c>
    </x:row>
    <x:row r="21">
      <x:c r="A21" t="str">
        <x:v>Blue water</x:v>
      </x:c>
      <x:c r="B21" t="str">
        <x:v>Grid</x:v>
      </x:c>
      <x:c r="C21" t="str">
        <x:v>Two-phase</x:v>
      </x:c>
      <x:c r="D21" s="9" t="n">
        <x:v>52.12242331046649</x:v>
      </x:c>
      <x:c r="E21" s="9" t="n">
        <x:v>52.122423310466495</x:v>
      </x:c>
      <x:c r="F21" s="9" t="n">
        <x:f>ABS(D21-E21)</x:f>
        <x:v>7.105427357601002e-15</x:v>
      </x:c>
      <x:c r="G21" s="5" t="n">
        <x:f>1-D21/H21</x:f>
        <x:v>0.4787757668953351</x:v>
      </x:c>
      <x:c r="H21" t="n">
        <x:f>SUMIFS($D$2:$D$25,$A$2:$A$25,A21,$B$2:$B$25,B21,$C$2:$C$25,"Air-cooled")</x:f>
        <x:v>100</x:v>
      </x:c>
    </x:row>
    <x:row r="22">
      <x:c r="A22" t="str">
        <x:v>Blue water</x:v>
      </x:c>
      <x:c r="B22" t="str">
        <x:v>100% renewable</x:v>
      </x:c>
      <x:c r="C22" t="str">
        <x:v>Air-cooled</x:v>
      </x:c>
      <x:c r="D22" s="9" t="n">
        <x:v>44.5491869608269</x:v>
      </x:c>
      <x:c r="E22" s="9" t="n">
        <x:v>44.5491869608269</x:v>
      </x:c>
      <x:c r="F22" s="9" t="n">
        <x:f>ABS(D22-E22)</x:f>
        <x:v>0</x:v>
      </x:c>
      <x:c r="G22" s="5" t="n">
        <x:f>1-D22/H22</x:f>
        <x:v>0</x:v>
      </x:c>
      <x:c r="H22" t="n">
        <x:f>SUMIFS($D$2:$D$25,$A$2:$A$25,A22,$B$2:$B$25,B22,$C$2:$C$25,"Air-cooled")</x:f>
        <x:v>44.5491869608269</x:v>
      </x:c>
    </x:row>
    <x:row r="23">
      <x:c r="A23" t="str">
        <x:v>Blue water</x:v>
      </x:c>
      <x:c r="B23" t="str">
        <x:v>100% renewable</x:v>
      </x:c>
      <x:c r="C23" t="str">
        <x:v>Cold plate</x:v>
      </x:c>
      <x:c r="D23" s="9" t="n">
        <x:v>22.27170141437423</x:v>
      </x:c>
      <x:c r="E23" s="9" t="n">
        <x:v>22.27170141437423</x:v>
      </x:c>
      <x:c r="F23" s="9" t="n">
        <x:f>ABS(D23-E23)</x:f>
        <x:v>0</x:v>
      </x:c>
      <x:c r="G23" s="5" t="n">
        <x:f>1-D23/H23</x:f>
        <x:v>0.5000649184920426</x:v>
      </x:c>
      <x:c r="H23" t="n">
        <x:f>SUMIFS($D$2:$D$25,$A$2:$A$25,A23,$B$2:$B$25,B23,$C$2:$C$25,"Air-cooled")</x:f>
        <x:v>44.5491869608269</x:v>
      </x:c>
    </x:row>
    <x:row r="24">
      <x:c r="A24" t="str">
        <x:v>Blue water</x:v>
      </x:c>
      <x:c r="B24" t="str">
        <x:v>100% renewable</x:v>
      </x:c>
      <x:c r="C24" t="str">
        <x:v>One-phase</x:v>
      </x:c>
      <x:c r="D24" s="9" t="n">
        <x:v>8.902097542302501</x:v>
      </x:c>
      <x:c r="E24" s="9" t="n">
        <x:v>8.902097542302501</x:v>
      </x:c>
      <x:c r="F24" s="9" t="n">
        <x:f>ABS(D24-E24)</x:f>
        <x:v>0</x:v>
      </x:c>
      <x:c r="G24" s="5" t="n">
        <x:f>1-D24/H24</x:f>
        <x:v>0.800173737174366</x:v>
      </x:c>
      <x:c r="H24" t="n">
        <x:f>SUMIFS($D$2:$D$25,$A$2:$A$25,A24,$B$2:$B$25,B24,$C$2:$C$25,"Air-cooled")</x:f>
        <x:v>44.5491869608269</x:v>
      </x:c>
    </x:row>
    <x:row r="25">
      <x:c r="A25" t="str">
        <x:v>Blue water</x:v>
      </x:c>
      <x:c r="B25" t="str">
        <x:v>100% renewable</x:v>
      </x:c>
      <x:c r="C25" t="str">
        <x:v>Two-phase</x:v>
      </x:c>
      <x:c r="D25" s="9" t="n">
        <x:v>8.183681239208688</x:v>
      </x:c>
      <x:c r="E25" s="9" t="n">
        <x:v>8.183681239208687</x:v>
      </x:c>
      <x:c r="F25" s="9" t="n">
        <x:f>ABS(D25-E25)</x:f>
        <x:v>1.7763568394002505e-15</x:v>
      </x:c>
      <x:c r="G25" s="5" t="n">
        <x:f>1-D25/H25</x:f>
        <x:v>0.8163000988905862</x:v>
      </x:c>
      <x:c r="H25" t="n">
        <x:f>SUMIFS($D$2:$D$25,$A$2:$A$25,A25,$B$2:$B$25,B25,$C$2:$C$25,"Air-cooled")</x:f>
        <x:v>44.5491869608269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6" customHeight="1">
      <x:c r="A1" s="3" t="str">
        <x:v>Technology</x:v>
      </x:c>
      <x:c r="B1" s="3" t="str">
        <x:v>Mean PUE</x:v>
      </x:c>
      <x:c r="C1" s="3" t="str">
        <x:v>Minimum PUE</x:v>
      </x:c>
      <x:c r="D1" s="3" t="str">
        <x:v>Maximum PUE</x:v>
      </x:c>
      <x:c r="E1" s="3" t="str">
        <x:v>Facility MWh/IT MWh</x:v>
      </x:c>
      <x:c r="F1" s="3" t="str">
        <x:v>Operational kg CO2e/IT MWh</x:v>
      </x:c>
      <x:c r="G1" s="3" t="str">
        <x:v>Reduction vs air</x:v>
      </x:c>
      <x:c r="H1" t="str">
        <x:f>'Hourly Preview'!A1</x:f>
        <x:v>Technology</x:v>
      </x:c>
      <x:c r="I1" t="str">
        <x:f>'Hourly Preview'!F1</x:f>
        <x:v>Operational kg CO2e/IT MWh</x:v>
      </x:c>
    </x:row>
    <x:row r="2">
      <x:c r="A2" t="str">
        <x:v>Air-cooled</x:v>
      </x:c>
      <x:c r="B2" s="10" t="n">
        <x:v>1.0907321250000002</x:v>
      </x:c>
      <x:c r="C2" s="10" t="n">
        <x:v>1.08</x:v>
      </x:c>
      <x:c r="D2" s="10" t="n">
        <x:v>1.1300000000000001</x:v>
      </x:c>
      <x:c r="E2" s="10" t="n">
        <x:v>1.0907321250000002</x:v>
      </x:c>
      <x:c r="F2" s="10" t="n">
        <x:v>493.9714087382467</x:v>
      </x:c>
      <x:c r="G2" s="5" t="n">
        <x:v>0</x:v>
      </x:c>
      <x:c r="H2" t="str">
        <x:f>'Hourly Preview'!A2</x:f>
        <x:v>Air-cooled</x:v>
      </x:c>
      <x:c r="I2" t="n">
        <x:f>'Hourly Preview'!F2</x:f>
        <x:v>493.9714087382467</x:v>
      </x:c>
    </x:row>
    <x:row r="3">
      <x:c r="A3" t="str">
        <x:v>Cold plate</x:v>
      </x:c>
      <x:c r="B3" s="10" t="n">
        <x:v>1.0528977992009132</x:v>
      </x:c>
      <x:c r="C3" s="10" t="n">
        <x:v>1.05</x:v>
      </x:c>
      <x:c r="D3" s="10" t="n">
        <x:v>1.0725</x:v>
      </x:c>
      <x:c r="E3" s="10" t="n">
        <x:v>1.0528977992009132</x:v>
      </x:c>
      <x:c r="F3" s="10" t="n">
        <x:v>476.83697693297023</x:v>
      </x:c>
      <x:c r="G3" s="5" t="n">
        <x:v>0.034687092212569604</x:v>
      </x:c>
      <x:c r="H3" t="str">
        <x:f>'Hourly Preview'!A3</x:f>
        <x:v>Cold plate</x:v>
      </x:c>
      <x:c r="I3" t="n">
        <x:f>'Hourly Preview'!F3</x:f>
        <x:v>476.83697693297023</x:v>
      </x:c>
    </x:row>
    <x:row r="4">
      <x:c r="A4" t="str">
        <x:v>One-phase</x:v>
      </x:c>
      <x:c r="B4" s="10" t="n">
        <x:v>1.040616401826484</x:v>
      </x:c>
      <x:c r="C4" s="10" t="n">
        <x:v>1.04</x:v>
      </x:c>
      <x:c r="D4" s="10" t="n">
        <x:v>1.05</x:v>
      </x:c>
      <x:c r="E4" s="10" t="n">
        <x:v>1.040616401826484</x:v>
      </x:c>
      <x:c r="F4" s="10" t="n">
        <x:v>471.27497043910176</x:v>
      </x:c>
      <x:c r="G4" s="5" t="n">
        <x:v>0.04594686635228252</x:v>
      </x:c>
      <x:c r="H4" t="str">
        <x:f>'Hourly Preview'!A4</x:f>
        <x:v>One-phase</x:v>
      </x:c>
      <x:c r="I4" t="n">
        <x:f>'Hourly Preview'!F4</x:f>
        <x:v>471.27497043910176</x:v>
      </x:c>
    </x:row>
    <x:row r="5">
      <x:c r="A5" t="str">
        <x:v>Two-phase</x:v>
      </x:c>
      <x:c r="B5" s="10" t="n">
        <x:v>1.035190110502283</x:v>
      </x:c>
      <x:c r="C5" s="10" t="n">
        <x:v>1.035</x:v>
      </x:c>
      <x:c r="D5" s="10" t="n">
        <x:v>1.0406</x:v>
      </x:c>
      <x:c r="E5" s="10" t="n">
        <x:v>1.035190110502283</x:v>
      </x:c>
      <x:c r="F5" s="10" t="n">
        <x:v>468.81750842051514</x:v>
      </x:c>
      <x:c r="G5" s="5" t="n">
        <x:v>0.05092177375606067</x:v>
      </x:c>
      <x:c r="H5" t="str">
        <x:f>'Hourly Preview'!A5</x:f>
        <x:v>Two-phase</x:v>
      </x:c>
      <x:c r="I5" t="n">
        <x:f>'Hourly Preview'!F5</x:f>
        <x:v>468.81750842051514</x:v>
      </x:c>
    </x:row>
    <x:row r="7">
      <x:c r="A7" s="8" t="str">
        <x:v>Research preview only. Piecewise-linear temperature-PUE curves are assumptions, not measured performance. EPA eGRID is annual and location-based; constant hourly IT load is assumed.</x:v>
      </x:c>
      <x:c r="B7" s="8"/>
      <x:c r="C7" s="8"/>
      <x:c r="D7" s="8"/>
      <x:c r="E7" s="8"/>
      <x:c r="F7" s="8"/>
      <x:c r="G7" s="8"/>
    </x:row>
    <x:row r="8">
      <x:c r="A8" s="8"/>
      <x:c r="B8" s="8"/>
      <x:c r="C8" s="8"/>
      <x:c r="D8" s="8"/>
      <x:c r="E8" s="8"/>
      <x:c r="F8" s="8"/>
      <x:c r="G8" s="8"/>
    </x:row>
    <x:row r="9">
      <x:c r="A9" s="8"/>
      <x:c r="B9" s="8"/>
      <x:c r="C9" s="8"/>
      <x:c r="D9" s="8"/>
      <x:c r="E9" s="8"/>
      <x:c r="F9" s="8"/>
      <x:c r="G9" s="8"/>
    </x:row>
    <x:row r="10">
      <x:c r="A10" s="8"/>
      <x:c r="B10" s="8"/>
      <x:c r="C10" s="8"/>
      <x:c r="D10" s="8"/>
      <x:c r="E10" s="8"/>
      <x:c r="F10" s="8"/>
      <x:c r="G10" s="8"/>
    </x:row>
  </x:sheetData>
  <x:mergeCells>
    <x:mergeCell ref="A7:G10"/>
  </x:mergeCells>
  <x:pageMargins left="0.7" right="0.7" top="0.75" bottom="0.75" header="0.3" footer="0.3"/>
  <x:drawing xmlns:r="http://schemas.openxmlformats.org/officeDocument/2006/relationships" r:id="R62fcb234e3204ef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26" customHeight="1">
      <x:c r="A1" s="3" t="str">
        <x:v>Month</x:v>
      </x:c>
      <x:c r="B1" s="3" t="str">
        <x:v>Mean temperature (C)</x:v>
      </x:c>
      <x:c r="C1" s="3" t="str">
        <x:v>Air-cooled PUE</x:v>
      </x:c>
      <x:c r="D1" s="3" t="str">
        <x:v>Cold plate PUE</x:v>
      </x:c>
      <x:c r="E1" s="3" t="str">
        <x:v>One-phase PUE</x:v>
      </x:c>
      <x:c r="F1" s="3" t="str">
        <x:v>Two-phase PUE</x:v>
      </x:c>
    </x:row>
    <x:row r="2">
      <x:c r="A2" t="n">
        <x:v>1</x:v>
      </x:c>
      <x:c r="B2" s="10" t="n">
        <x:v>3.547567204301075</x:v>
      </x:c>
      <x:c r="C2" s="10" t="n">
        <x:v>1.0825327822580646</x:v>
      </x:c>
      <x:c r="D2" s="10" t="n">
        <x:v>1.0505022876344086</x:v>
      </x:c>
      <x:c r="E2" s="10" t="n">
        <x:v>1.0401534650537634</x:v>
      </x:c>
      <x:c r="F2" s="10" t="n">
        <x:v>1.0351534650537633</x:v>
      </x:c>
    </x:row>
    <x:row r="3">
      <x:c r="A3" t="n">
        <x:v>2</x:v>
      </x:c>
      <x:c r="B3" s="10" t="n">
        <x:v>3.8685714285714283</x:v>
      </x:c>
      <x:c r="C3" s="10" t="n">
        <x:v>1.0821923586309525</x:v>
      </x:c>
      <x:c r="D3" s="10" t="n">
        <x:v>1.0503582470238095</x:v>
      </x:c>
      <x:c r="E3" s="10" t="n">
        <x:v>1.0400845491071429</x:v>
      </x:c>
      <x:c r="F3" s="10" t="n">
        <x:v>1.0350845491071428</x:v>
      </x:c>
    </x:row>
    <x:row r="4">
      <x:c r="A4" t="n">
        <x:v>3</x:v>
      </x:c>
      <x:c r="B4" s="10" t="n">
        <x:v>10.230215053763441</x:v>
      </x:c>
      <x:c r="C4" s="10" t="n">
        <x:v>1.0822419422043013</x:v>
      </x:c>
      <x:c r="D4" s="10" t="n">
        <x:v>1.0501993548387099</x:v>
      </x:c>
      <x:c r="E4" s="10" t="n">
        <x:v>1.0400220295698925</x:v>
      </x:c>
      <x:c r="F4" s="10" t="n">
        <x:v>1.0350220295698924</x:v>
      </x:c>
    </x:row>
    <x:row r="5">
      <x:c r="A5" t="n">
        <x:v>4</x:v>
      </x:c>
      <x:c r="B5" s="10" t="n">
        <x:v>13.955819444444446</x:v>
      </x:c>
      <x:c r="C5" s="10" t="n">
        <x:v>1.0860045833333334</x:v>
      </x:c>
      <x:c r="D5" s="10" t="n">
        <x:v>1.0509022083333333</x:v>
      </x:c>
      <x:c r="E5" s="10" t="n">
        <x:v>1.0400293472222222</x:v>
      </x:c>
      <x:c r="F5" s="10" t="n">
        <x:v>1.0350043472222221</x:v>
      </x:c>
    </x:row>
    <x:row r="6">
      <x:c r="A6" t="n">
        <x:v>5</x:v>
      </x:c>
      <x:c r="B6" s="10" t="n">
        <x:v>19.54293010752688</x:v>
      </x:c>
      <x:c r="C6" s="10" t="n">
        <x:v>1.0927512096774195</x:v>
      </x:c>
      <x:c r="D6" s="10" t="n">
        <x:v>1.0529256048387097</x:v>
      </x:c>
      <x:c r="E6" s="10" t="n">
        <x:v>1.040433306451613</x:v>
      </x:c>
      <x:c r="F6" s="10" t="n">
        <x:v>1.0350447311827957</x:v>
      </x:c>
    </x:row>
    <x:row r="7">
      <x:c r="A7" t="n">
        <x:v>6</x:v>
      </x:c>
      <x:c r="B7" s="10" t="n">
        <x:v>24.209208333333336</x:v>
      </x:c>
      <x:c r="C7" s="10" t="n">
        <x:v>1.103111388888889</x:v>
      </x:c>
      <x:c r="D7" s="10" t="n">
        <x:v>1.0572165208333335</x:v>
      </x:c>
      <x:c r="E7" s="10" t="n">
        <x:v>1.0416757916666666</x:v>
      </x:c>
      <x:c r="F7" s="10" t="n">
        <x:v>1.0354593555555556</x:v>
      </x:c>
    </x:row>
    <x:row r="8">
      <x:c r="A8" t="n">
        <x:v>7</x:v>
      </x:c>
      <x:c r="B8" s="10" t="n">
        <x:v>25.52706989247312</x:v>
      </x:c>
      <x:c r="C8" s="10" t="n">
        <x:v>1.1063546370967743</x:v>
      </x:c>
      <x:c r="D8" s="10" t="n">
        <x:v>1.0586272983870968</x:v>
      </x:c>
      <x:c r="E8" s="10" t="n">
        <x:v>1.042141747311828</x:v>
      </x:c>
      <x:c r="F8" s="10" t="n">
        <x:v>1.035657193548387</x:v>
      </x:c>
    </x:row>
    <x:row r="9">
      <x:c r="A9" t="n">
        <x:v>8</x:v>
      </x:c>
      <x:c r="B9" s="10" t="n">
        <x:v>24.760833333333334</x:v>
      </x:c>
      <x:c r="C9" s="10" t="n">
        <x:v>1.104450806451613</x:v>
      </x:c>
      <x:c r="D9" s="10" t="n">
        <x:v>1.0577896370967743</x:v>
      </x:c>
      <x:c r="E9" s="10" t="n">
        <x:v>1.0419312903225806</x:v>
      </x:c>
      <x:c r="F9" s="10" t="n">
        <x:v>1.0356059677419354</x:v>
      </x:c>
    </x:row>
    <x:row r="10">
      <x:c r="A10" t="n">
        <x:v>9</x:v>
      </x:c>
      <x:c r="B10" s="10" t="n">
        <x:v>21.259333333333334</x:v>
      </x:c>
      <x:c r="C10" s="10" t="n">
        <x:v>1.0964156944444445</x:v>
      </x:c>
      <x:c r="D10" s="10" t="n">
        <x:v>1.0542520625</x:v>
      </x:c>
      <x:c r="E10" s="10" t="n">
        <x:v>1.0406361527777777</x:v>
      </x:c>
      <x:c r="F10" s="10" t="n">
        <x:v>1.0350877777777778</x:v>
      </x:c>
    </x:row>
    <x:row r="11">
      <x:c r="A11" t="n">
        <x:v>10</x:v>
      </x:c>
      <x:c r="B11" s="10" t="n">
        <x:v>14.917271505376345</x:v>
      </x:c>
      <x:c r="C11" s="10" t="n">
        <x:v>1.0860204637096775</x:v>
      </x:c>
      <x:c r="D11" s="10" t="n">
        <x:v>1.0509983534946237</x:v>
      </x:c>
      <x:c r="E11" s="10" t="n">
        <x:v>1.0400887096774194</x:v>
      </x:c>
      <x:c r="F11" s="10" t="n">
        <x:v>1.035</x:v>
      </x:c>
    </x:row>
    <x:row r="12">
      <x:c r="A12" t="n">
        <x:v>11</x:v>
      </x:c>
      <x:c r="B12" s="10" t="n">
        <x:v>10.923666666666666</x:v>
      </x:c>
      <x:c r="C12" s="10" t="n">
        <x:v>1.0837173194444445</x:v>
      </x:c>
      <x:c r="D12" s="10" t="n">
        <x:v>1.0503610944444444</x:v>
      </x:c>
      <x:c r="E12" s="10" t="n">
        <x:v>1.0400097986111112</x:v>
      </x:c>
      <x:c r="F12" s="10" t="n">
        <x:v>1.035009798611111</x:v>
      </x:c>
    </x:row>
    <x:row r="13">
      <x:c r="A13" t="n">
        <x:v>12</x:v>
      </x:c>
      <x:c r="B13" s="10" t="n">
        <x:v>4.910766129032258</x:v>
      </x:c>
      <x:c r="C13" s="10" t="n">
        <x:v>1.0823697715053764</x:v>
      </x:c>
      <x:c r="D13" s="10" t="n">
        <x:v>1.0504319543010754</x:v>
      </x:c>
      <x:c r="E13" s="10" t="n">
        <x:v>1.0401354704301076</x:v>
      </x:c>
      <x:c r="F13" s="10" t="n">
        <x:v>1.0351354704301075</x:v>
      </x:c>
    </x:row>
    <x:row r="22">
      <x:c r="H22" t="str">
        <x:f>'Monthly Preview'!A1</x:f>
        <x:v>Month</x:v>
      </x:c>
      <x:c r="I22" t="str">
        <x:f>'Monthly Preview'!C1</x:f>
        <x:v>Air-cooled PUE</x:v>
      </x:c>
      <x:c r="J22" t="str">
        <x:f>'Monthly Preview'!D1</x:f>
        <x:v>Cold plate PUE</x:v>
      </x:c>
      <x:c r="K22" t="str">
        <x:f>'Monthly Preview'!E1</x:f>
        <x:v>One-phase PUE</x:v>
      </x:c>
      <x:c r="L22" t="str">
        <x:f>'Monthly Preview'!F1</x:f>
        <x:v>Two-phase PUE</x:v>
      </x:c>
    </x:row>
    <x:row r="23">
      <x:c r="H23" t="n">
        <x:f>'Monthly Preview'!A2</x:f>
        <x:v>1</x:v>
      </x:c>
      <x:c r="I23" t="n">
        <x:f>'Monthly Preview'!C2</x:f>
        <x:v>1.0825327822580646</x:v>
      </x:c>
      <x:c r="J23" t="n">
        <x:f>'Monthly Preview'!D2</x:f>
        <x:v>1.0505022876344086</x:v>
      </x:c>
      <x:c r="K23" t="n">
        <x:f>'Monthly Preview'!E2</x:f>
        <x:v>1.0401534650537634</x:v>
      </x:c>
      <x:c r="L23" t="n">
        <x:f>'Monthly Preview'!F2</x:f>
        <x:v>1.0351534650537633</x:v>
      </x:c>
    </x:row>
    <x:row r="24">
      <x:c r="H24" t="n">
        <x:f>'Monthly Preview'!A3</x:f>
        <x:v>2</x:v>
      </x:c>
      <x:c r="I24" t="n">
        <x:f>'Monthly Preview'!C3</x:f>
        <x:v>1.0821923586309525</x:v>
      </x:c>
      <x:c r="J24" t="n">
        <x:f>'Monthly Preview'!D3</x:f>
        <x:v>1.0503582470238095</x:v>
      </x:c>
      <x:c r="K24" t="n">
        <x:f>'Monthly Preview'!E3</x:f>
        <x:v>1.0400845491071429</x:v>
      </x:c>
      <x:c r="L24" t="n">
        <x:f>'Monthly Preview'!F3</x:f>
        <x:v>1.0350845491071428</x:v>
      </x:c>
    </x:row>
    <x:row r="25">
      <x:c r="H25" t="n">
        <x:f>'Monthly Preview'!A4</x:f>
        <x:v>3</x:v>
      </x:c>
      <x:c r="I25" t="n">
        <x:f>'Monthly Preview'!C4</x:f>
        <x:v>1.0822419422043013</x:v>
      </x:c>
      <x:c r="J25" t="n">
        <x:f>'Monthly Preview'!D4</x:f>
        <x:v>1.0501993548387099</x:v>
      </x:c>
      <x:c r="K25" t="n">
        <x:f>'Monthly Preview'!E4</x:f>
        <x:v>1.0400220295698925</x:v>
      </x:c>
      <x:c r="L25" t="n">
        <x:f>'Monthly Preview'!F4</x:f>
        <x:v>1.0350220295698924</x:v>
      </x:c>
    </x:row>
    <x:row r="26">
      <x:c r="H26" t="n">
        <x:f>'Monthly Preview'!A5</x:f>
        <x:v>4</x:v>
      </x:c>
      <x:c r="I26" t="n">
        <x:f>'Monthly Preview'!C5</x:f>
        <x:v>1.0860045833333334</x:v>
      </x:c>
      <x:c r="J26" t="n">
        <x:f>'Monthly Preview'!D5</x:f>
        <x:v>1.0509022083333333</x:v>
      </x:c>
      <x:c r="K26" t="n">
        <x:f>'Monthly Preview'!E5</x:f>
        <x:v>1.0400293472222222</x:v>
      </x:c>
      <x:c r="L26" t="n">
        <x:f>'Monthly Preview'!F5</x:f>
        <x:v>1.0350043472222221</x:v>
      </x:c>
    </x:row>
    <x:row r="27">
      <x:c r="H27" t="n">
        <x:f>'Monthly Preview'!A6</x:f>
        <x:v>5</x:v>
      </x:c>
      <x:c r="I27" t="n">
        <x:f>'Monthly Preview'!C6</x:f>
        <x:v>1.0927512096774195</x:v>
      </x:c>
      <x:c r="J27" t="n">
        <x:f>'Monthly Preview'!D6</x:f>
        <x:v>1.0529256048387097</x:v>
      </x:c>
      <x:c r="K27" t="n">
        <x:f>'Monthly Preview'!E6</x:f>
        <x:v>1.040433306451613</x:v>
      </x:c>
      <x:c r="L27" t="n">
        <x:f>'Monthly Preview'!F6</x:f>
        <x:v>1.0350447311827957</x:v>
      </x:c>
    </x:row>
    <x:row r="28">
      <x:c r="H28" t="n">
        <x:f>'Monthly Preview'!A7</x:f>
        <x:v>6</x:v>
      </x:c>
      <x:c r="I28" t="n">
        <x:f>'Monthly Preview'!C7</x:f>
        <x:v>1.103111388888889</x:v>
      </x:c>
      <x:c r="J28" t="n">
        <x:f>'Monthly Preview'!D7</x:f>
        <x:v>1.0572165208333335</x:v>
      </x:c>
      <x:c r="K28" t="n">
        <x:f>'Monthly Preview'!E7</x:f>
        <x:v>1.0416757916666666</x:v>
      </x:c>
      <x:c r="L28" t="n">
        <x:f>'Monthly Preview'!F7</x:f>
        <x:v>1.0354593555555556</x:v>
      </x:c>
    </x:row>
    <x:row r="29">
      <x:c r="H29" t="n">
        <x:f>'Monthly Preview'!A8</x:f>
        <x:v>7</x:v>
      </x:c>
      <x:c r="I29" t="n">
        <x:f>'Monthly Preview'!C8</x:f>
        <x:v>1.1063546370967743</x:v>
      </x:c>
      <x:c r="J29" t="n">
        <x:f>'Monthly Preview'!D8</x:f>
        <x:v>1.0586272983870968</x:v>
      </x:c>
      <x:c r="K29" t="n">
        <x:f>'Monthly Preview'!E8</x:f>
        <x:v>1.042141747311828</x:v>
      </x:c>
      <x:c r="L29" t="n">
        <x:f>'Monthly Preview'!F8</x:f>
        <x:v>1.035657193548387</x:v>
      </x:c>
    </x:row>
    <x:row r="30">
      <x:c r="H30" t="n">
        <x:f>'Monthly Preview'!A9</x:f>
        <x:v>8</x:v>
      </x:c>
      <x:c r="I30" t="n">
        <x:f>'Monthly Preview'!C9</x:f>
        <x:v>1.104450806451613</x:v>
      </x:c>
      <x:c r="J30" t="n">
        <x:f>'Monthly Preview'!D9</x:f>
        <x:v>1.0577896370967743</x:v>
      </x:c>
      <x:c r="K30" t="n">
        <x:f>'Monthly Preview'!E9</x:f>
        <x:v>1.0419312903225806</x:v>
      </x:c>
      <x:c r="L30" t="n">
        <x:f>'Monthly Preview'!F9</x:f>
        <x:v>1.0356059677419354</x:v>
      </x:c>
    </x:row>
    <x:row r="31">
      <x:c r="H31" t="n">
        <x:f>'Monthly Preview'!A10</x:f>
        <x:v>9</x:v>
      </x:c>
      <x:c r="I31" t="n">
        <x:f>'Monthly Preview'!C10</x:f>
        <x:v>1.0964156944444445</x:v>
      </x:c>
      <x:c r="J31" t="n">
        <x:f>'Monthly Preview'!D10</x:f>
        <x:v>1.0542520625</x:v>
      </x:c>
      <x:c r="K31" t="n">
        <x:f>'Monthly Preview'!E10</x:f>
        <x:v>1.0406361527777777</x:v>
      </x:c>
      <x:c r="L31" t="n">
        <x:f>'Monthly Preview'!F10</x:f>
        <x:v>1.0350877777777778</x:v>
      </x:c>
    </x:row>
    <x:row r="32">
      <x:c r="H32" t="n">
        <x:f>'Monthly Preview'!A11</x:f>
        <x:v>10</x:v>
      </x:c>
      <x:c r="I32" t="n">
        <x:f>'Monthly Preview'!C11</x:f>
        <x:v>1.0860204637096775</x:v>
      </x:c>
      <x:c r="J32" t="n">
        <x:f>'Monthly Preview'!D11</x:f>
        <x:v>1.0509983534946237</x:v>
      </x:c>
      <x:c r="K32" t="n">
        <x:f>'Monthly Preview'!E11</x:f>
        <x:v>1.0400887096774194</x:v>
      </x:c>
      <x:c r="L32" t="n">
        <x:f>'Monthly Preview'!F11</x:f>
        <x:v>1.035</x:v>
      </x:c>
    </x:row>
    <x:row r="33">
      <x:c r="H33" t="n">
        <x:f>'Monthly Preview'!A12</x:f>
        <x:v>11</x:v>
      </x:c>
      <x:c r="I33" t="n">
        <x:f>'Monthly Preview'!C12</x:f>
        <x:v>1.0837173194444445</x:v>
      </x:c>
      <x:c r="J33" t="n">
        <x:f>'Monthly Preview'!D12</x:f>
        <x:v>1.0503610944444444</x:v>
      </x:c>
      <x:c r="K33" t="n">
        <x:f>'Monthly Preview'!E12</x:f>
        <x:v>1.0400097986111112</x:v>
      </x:c>
      <x:c r="L33" t="n">
        <x:f>'Monthly Preview'!F12</x:f>
        <x:v>1.035009798611111</x:v>
      </x:c>
    </x:row>
    <x:row r="34">
      <x:c r="H34" t="n">
        <x:f>'Monthly Preview'!A13</x:f>
        <x:v>12</x:v>
      </x:c>
      <x:c r="I34" t="n">
        <x:f>'Monthly Preview'!C13</x:f>
        <x:v>1.0823697715053764</x:v>
      </x:c>
      <x:c r="J34" t="n">
        <x:f>'Monthly Preview'!D13</x:f>
        <x:v>1.0504319543010754</x:v>
      </x:c>
      <x:c r="K34" t="n">
        <x:f>'Monthly Preview'!E13</x:f>
        <x:v>1.0401354704301076</x:v>
      </x:c>
      <x:c r="L34" t="n">
        <x:f>'Monthly Preview'!F13</x:f>
        <x:v>1.0351354704301075</x:v>
      </x:c>
    </x:row>
  </x:sheetData>
  <x:pageMargins left="0.7" right="0.7" top="0.75" bottom="0.75" header="0.3" footer="0.3"/>
  <x:drawing xmlns:r="http://schemas.openxmlformats.org/officeDocument/2006/relationships" r:id="R9729bf43b6e541e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55" hidden="0" customWidth="1"/>
    <x:col min="4" max="4" width="28" hidden="0" customWidth="1"/>
  </x:cols>
  <x:sheetData>
    <x:row r="1" ht="26" customHeight="1">
      <x:c r="A1" s="3" t="str">
        <x:v>Source</x:v>
      </x:c>
      <x:c r="B1" s="3" t="str">
        <x:v>Role</x:v>
      </x:c>
      <x:c r="C1" s="3" t="str">
        <x:v>URL</x:v>
      </x:c>
      <x:c r="D1" s="3" t="str">
        <x:v>Status</x:v>
      </x:c>
    </x:row>
    <x:row r="2">
      <x:c r="A2" t="str">
        <x:v>Alissa et al. Nature 641 (2025)</x:v>
      </x:c>
      <x:c r="B2" t="str">
        <x:v>Published model and interpretation</x:v>
      </x:c>
      <x:c r="C2" t="str">
        <x:v>https://doi.org/10.1038/s41586-025-08832-3</x:v>
      </x:c>
      <x:c r="D2" t="str">
        <x:v>Cited</x:v>
      </x:c>
    </x:row>
    <x:row r="3">
      <x:c r="A3" t="str">
        <x:v>Microsoft/Nature source data</x:v>
      </x:c>
      <x:c r="B3" t="str">
        <x:v>Figure 4 reproduction</x:v>
      </x:c>
      <x:c r="C3" t="str">
        <x:v>https://doi.org/10.1038/s41586-025-08832-3</x:v>
      </x:c>
      <x:c r="D3" t="str">
        <x:v>Validated</x:v>
      </x:c>
    </x:row>
    <x:row r="4">
      <x:c r="A4" t="str">
        <x:v>EPA eGRID 2023</x:v>
      </x:c>
      <x:c r="B4" t="str">
        <x:v>Arkansas annual CO2e factor</x:v>
      </x:c>
      <x:c r="C4" t="str">
        <x:v>https://www.epa.gov/egrid/detailed-data</x:v>
      </x:c>
      <x:c r="D4" t="str">
        <x:v>Used</x:v>
      </x:c>
    </x:row>
    <x:row r="5">
      <x:c r="A5" t="str">
        <x:v>NOAA NCEI TMY</x:v>
      </x:c>
      <x:c r="B5" t="str">
        <x:v>Fayetteville hourly weather</x:v>
      </x:c>
      <x:c r="C5" t="str">
        <x:v>https://www.ncei.noaa.gov/access/typical-meteorological-year/</x:v>
      </x:c>
      <x:c r="D5" t="str">
        <x:v>Used</x:v>
      </x:c>
    </x:row>
  </x:sheetData>
  <x:pageMargins left="0.7" right="0.7" top="0.75" bottom="0.75" header="0.3" footer="0.3"/>
</x:worksheet>
</file>